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7928c92b9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RATS" sheetId="1" r:id="R9ae1f5c87a1e4ff8"/>
    <x:sheet xmlns:r="http://schemas.openxmlformats.org/officeDocument/2006/relationships" name="Traceability" sheetId="2" r:id="Reaec5d42e29a4b06"/>
    <x:sheet xmlns:r="http://schemas.openxmlformats.org/officeDocument/2006/relationships" name="Review Summary" sheetId="3" r:id="Rd767245fc065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4500"/>
      <x:name val="Carlito"/>
    </x:font>
    <x:font>
      <x:b/>
      <x:sz val="11"/>
      <x:color rgb="FF0B2545"/>
      <x:name val="Carlito"/>
    </x:font>
    <x:font>
      <x:b/>
      <x:sz val="10"/>
      <x:color rgb="FF0B2545"/>
      <x:name val="Carlito"/>
    </x:font>
    <x:font>
      <x:sz val="10"/>
      <x:color rgb="FF111111"/>
      <x:name val="Carlito"/>
    </x:font>
    <x:font>
      <x:b/>
      <x:sz val="10"/>
      <x:color rgb="FF2E74B5"/>
      <x:name val="Carlito"/>
    </x:font>
    <x:font>
      <x:i/>
      <x:sz val="11"/>
      <x:color rgb="FF555555"/>
      <x:name val="Carlito"/>
    </x:font>
    <x:font>
      <x:sz val="11"/>
      <x:color rgb="FF5B45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FF4CE"/>
      </x:patternFill>
    </x:fill>
    <x:fill>
      <x:patternFill patternType="solid">
        <x:fgColor rgb="FFF2F4F7"/>
      </x:patternFill>
    </x:fill>
    <x:fill>
      <x:patternFill patternType="solid">
        <x:fgColor rgb="FFE8EEF5"/>
      </x:patternFill>
    </x:fill>
  </x:fills>
  <x:borders count="10">
    <x:border/>
    <x:border>
      <x:left style="thin">
        <x:color rgb="FFC9D1DB"/>
      </x:left>
      <x:right style="thin">
        <x:color rgb="FFC9D1DB"/>
      </x:right>
      <x:top style="thin">
        <x:color rgb="FFC9D1DB"/>
      </x:top>
      <x:bottom style="thin">
        <x:color rgb="FFC9D1DB"/>
      </x:bottom>
    </x:border>
    <x:border>
      <x:left style="thin">
        <x:color rgb="FFC7A600"/>
      </x:left>
      <x:top style="thin">
        <x:color rgb="FFC7A600"/>
      </x:top>
    </x:border>
    <x:border>
      <x:top style="thin">
        <x:color rgb="FFC7A600"/>
      </x:top>
    </x:border>
    <x:border>
      <x:right style="thin">
        <x:color rgb="FFC7A600"/>
      </x:right>
      <x:top style="thin">
        <x:color rgb="FFC7A600"/>
      </x:top>
    </x:border>
    <x:border>
      <x:left style="thin">
        <x:color rgb="FFC7A600"/>
      </x:left>
    </x:border>
    <x:border>
      <x:right style="thin">
        <x:color rgb="FFC7A600"/>
      </x:right>
    </x:border>
    <x:border>
      <x:left style="thin">
        <x:color rgb="FFC7A600"/>
      </x:left>
      <x:bottom style="thin">
        <x:color rgb="FFC7A600"/>
      </x:bottom>
    </x:border>
    <x:border>
      <x:bottom style="thin">
        <x:color rgb="FFC7A600"/>
      </x:bottom>
    </x:border>
    <x:border>
      <x:right style="thin">
        <x:color rgb="FFC7A600"/>
      </x:right>
      <x:bottom style="thin">
        <x:color rgb="FFC7A600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4" fillId="0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2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6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vertical="top" wrapText="1"/>
    </x:xf>
    <x:xf numFmtId="0" fontId="8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7A5A00"/>
      </x:font>
      <x:fill>
        <x:patternFill patternType="solid">
          <x:bgColor rgb="FFFFF4CE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ont>
        <x:b/>
        <x:color rgb="FF7A5A00"/>
      </x:font>
      <x:fill>
        <x:patternFill patternType="solid">
          <x:bgColor rgb="FFFFF4CE"/>
        </x:patternFill>
      </x:fill>
    </x:dxf>
    <x:dxf>
      <x:font>
        <x:b/>
        <x:color rgb="FF9B1C1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5ee984269490b" /><Relationship Type="http://schemas.openxmlformats.org/officeDocument/2006/relationships/theme" Target="/xl/theme/theme1.xml" Id="R17d5289328644f82" /><Relationship Type="http://schemas.openxmlformats.org/officeDocument/2006/relationships/sharedStrings" Target="/xl/sharedStrings.xml" Id="R981d0914047e48b0" /><Relationship Type="http://schemas.openxmlformats.org/officeDocument/2006/relationships/worksheet" Target="/xl/worksheets/sheet1.xml" Id="R9ae1f5c87a1e4ff8" /><Relationship Type="http://schemas.openxmlformats.org/officeDocument/2006/relationships/worksheet" Target="/xl/worksheets/sheet2.xml" Id="Reaec5d42e29a4b06" /><Relationship Type="http://schemas.openxmlformats.org/officeDocument/2006/relationships/worksheet" Target="/xl/worksheets/sheet3.xml" Id="Rd767245fc0654ac5" /><Relationship Type="http://schemas.microsoft.com/office/2017/10/relationships/person" Target="/xl/persons/person.xml" Id="R5edb6c9edb274233" /></Relationships>
</file>

<file path=xl/persons/person.xml><?xml version="1.0" encoding="utf-8"?>
<xltc:personList xmlns:xltc="http://schemas.microsoft.com/office/spreadsheetml/2018/threadedcomments">
  <xltc:person displayName="Oliver Haythornthwaite" id="{EB3698E9-947A-4D57-97A4-3F5DB57BFAB8}"/>
</xltc:personList>
</file>

<file path=xl/tables/table1.xml><?xml version="1.0" encoding="utf-8"?>
<x:table xmlns:x="http://schemas.openxmlformats.org/spreadsheetml/2006/main" id="1" name="C2SRATSTable" displayName="C2SRATSTable" ref="A6:K14" headerRowCount="1" totalsRowCount="0" totalsRowShown="0">
  <x:tableColumns count="11">
    <x:tableColumn id="1" name="SRATS ID"/>
    <x:tableColumn id="2" name="Title"/>
    <x:tableColumn id="3" name="Allocated requirement"/>
    <x:tableColumn id="4" name="Rationale"/>
    <x:tableColumn id="5" name="Source system requirement"/>
    <x:tableColumn id="6" name="Failure condition"/>
    <x:tableColumn id="7" name="Allocated DAL"/>
    <x:tableColumn id="8" name="Verification method"/>
    <x:tableColumn id="9" name="Acceptance criterion"/>
    <x:tableColumn id="10" name="Owner"/>
    <x:tableColumn id="11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2TraceTable" displayName="C2TraceTable" ref="A5:H14" headerRowCount="1" totalsRowCount="0" totalsRowShown="0">
  <x:tableColumns count="8">
    <x:tableColumn id="1" name="SRATS ID"/>
    <x:tableColumn id="2" name="HLR link(s)"/>
    <x:tableColumn id="3" name="LLR link(s)"/>
    <x:tableColumn id="4" name="Model element"/>
    <x:tableColumn id="5" name="Code unit"/>
    <x:tableColumn id="6" name="Test ID(s)"/>
    <x:tableColumn id="7" name="Latest result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da41f44e3b43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1066f392cd4a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52" hidden="0" customWidth="1"/>
    <x:col min="4" max="4" width="30" hidden="0" customWidth="1"/>
    <x:col min="5" max="5" width="20" hidden="0" customWidth="1"/>
    <x:col min="6" max="6" width="26" hidden="0" customWidth="1"/>
    <x:col min="7" max="7" width="12" hidden="0" customWidth="1"/>
    <x:col min="8" max="8" width="22" hidden="0" customWidth="1"/>
    <x:col min="9" max="9" width="32" hidden="0" customWidth="1"/>
    <x:col min="10" max="10" width="16" hidden="0" customWidth="1"/>
    <x:col min="11" max="11" width="14" hidden="0" customWidth="1"/>
  </x:cols>
  <x:sheetData>
    <x:row r="1" ht="30" customHeight="1">
      <x:c r="A1" s="4" t="str">
        <x:v>DCDS Command and Control - System Requirements Allocated to Software (SRATS)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7" t="str">
        <x:v>Review exercise candidate | DCDS-C2-SRATS-001 Rev 0.1 | Form assumption: conventional system-to-software allocation register because the project plan form was not supplied.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Project</x:v>
      </x:c>
      <x:c r="B4" s="10" t="str">
        <x:v>SkyGuard DCDS</x:v>
      </x:c>
      <x:c r="C4" s="10" t="str">
        <x:v>Module</x:v>
      </x:c>
      <x:c r="D4" s="10" t="str">
        <x:v>Command and Control (PAN-C2)</x:v>
      </x:c>
      <x:c r="E4" s="10" t="str">
        <x:v>Assurance</x:v>
      </x:c>
      <x:c r="F4" s="10" t="str">
        <x:v>DAL B - provisional</x:v>
      </x:c>
    </x:row>
    <x:row r="6" ht="34" customHeight="1">
      <x:c r="A6" s="15" t="str">
        <x:v>SRATS ID</x:v>
      </x:c>
      <x:c r="B6" s="15" t="str">
        <x:v>Title</x:v>
      </x:c>
      <x:c r="C6" s="15" t="str">
        <x:v>Allocated requirement</x:v>
      </x:c>
      <x:c r="D6" s="15" t="str">
        <x:v>Rationale</x:v>
      </x:c>
      <x:c r="E6" s="15" t="str">
        <x:v>Source system requirement</x:v>
      </x:c>
      <x:c r="F6" s="15" t="str">
        <x:v>Failure condition</x:v>
      </x:c>
      <x:c r="G6" s="15" t="str">
        <x:v>Allocated DAL</x:v>
      </x:c>
      <x:c r="H6" s="15" t="str">
        <x:v>Verification method</x:v>
      </x:c>
      <x:c r="I6" s="15" t="str">
        <x:v>Acceptance criterion</x:v>
      </x:c>
      <x:c r="J6" s="15" t="str">
        <x:v>Owner</x:v>
      </x:c>
      <x:c r="K6" s="15" t="str">
        <x:v>Status</x:v>
      </x:c>
    </x:row>
    <x:row r="7" ht="15" hidden="0" customHeight="1">
      <x:c r="A7" s="20" t="str">
        <x:v>SRAT-C2-001</x:v>
      </x:c>
      <x:c r="B7" s="19" t="str">
        <x:v>Command response</x:v>
      </x:c>
      <x:c r="C7" s="19" t="str">
        <x:v>The C2 panel should process operator command requests promptly.</x:v>
      </x:c>
      <x:c r="D7" s="19" t="str">
        <x:v>Avoid operator delay.</x:v>
      </x:c>
      <x:c r="E7" s="19" t="str">
        <x:v>SYS-C2-101</x:v>
      </x:c>
      <x:c r="F7" s="19" t="str">
        <x:v>Delayed command</x:v>
      </x:c>
      <x:c r="G7" s="19" t="str">
        <x:v>B</x:v>
      </x:c>
      <x:c r="H7" s="19" t="str">
        <x:v>Test</x:v>
      </x:c>
      <x:c r="I7" s="19" t="str"/>
      <x:c r="J7" s="19" t="str">
        <x:v>Systems</x:v>
      </x:c>
      <x:c r="K7" s="19" t="str">
        <x:v>Approved</x:v>
      </x:c>
    </x:row>
    <x:row r="8" ht="24" hidden="0" customHeight="1">
      <x:c r="A8" s="20" t="str">
        <x:v>SRAT-C2-002</x:v>
      </x:c>
      <x:c r="B8" s="19" t="str">
        <x:v>Authority inhibition</x:v>
      </x:c>
      <x:c r="C8" s="19" t="str">
        <x:v>The system shall inhibit commands whenever authority is invalid, unless the operator really needs to send one.</x:v>
      </x:c>
      <x:c r="D8" s="19" t="str">
        <x:v>Prevent unauthorised control while retaining flexibility.</x:v>
      </x:c>
      <x:c r="E8" s="19" t="str">
        <x:v>SYS-C2-102</x:v>
      </x:c>
      <x:c r="F8" s="19" t="str">
        <x:v>Unintended command</x:v>
      </x:c>
      <x:c r="G8" s="19" t="str">
        <x:v>B</x:v>
      </x:c>
      <x:c r="H8" s="19" t="str">
        <x:v>Test and analysis</x:v>
      </x:c>
      <x:c r="I8" s="19" t="str">
        <x:v>No command without valid authority</x:v>
      </x:c>
      <x:c r="J8" s="19" t="str">
        <x:v>Safety</x:v>
      </x:c>
      <x:c r="K8" s="19" t="str">
        <x:v>Approved</x:v>
      </x:c>
    </x:row>
    <x:row r="9" ht="24" hidden="0" customHeight="1">
      <x:c r="A9" s="20" t="str">
        <x:v>SRAT-C2-003</x:v>
      </x:c>
      <x:c r="B9" s="19" t="str">
        <x:v>Acknowledgement</x:v>
      </x:c>
      <x:c r="C9" s="19" t="str">
        <x:v>The operator shall be shown whether a command was accepted or rejected within 3 seconds of confirmation.</x:v>
      </x:c>
      <x:c r="D9" s="19" t="str">
        <x:v>Provide feedback.</x:v>
      </x:c>
      <x:c r="E9" s="19" t="str">
        <x:v>SYS-C2-103</x:v>
      </x:c>
      <x:c r="F9" s="19" t="str">
        <x:v>Misleading command status</x:v>
      </x:c>
      <x:c r="G9" s="19" t="str">
        <x:v>B</x:v>
      </x:c>
      <x:c r="H9" s="19" t="str">
        <x:v>Test</x:v>
      </x:c>
      <x:c r="I9" s="19" t="str">
        <x:v>Result visible within 3 s</x:v>
      </x:c>
      <x:c r="J9" s="19" t="str">
        <x:v>Systems</x:v>
      </x:c>
      <x:c r="K9" s="19" t="str">
        <x:v>Approved</x:v>
      </x:c>
    </x:row>
    <x:row r="10" ht="24" hidden="0" customHeight="1">
      <x:c r="A10" s="20" t="str">
        <x:v>SRAT-C2-004</x:v>
      </x:c>
      <x:c r="B10" s="19" t="str">
        <x:v>Lost link</x:v>
      </x:c>
      <x:c r="C10" s="19" t="str">
        <x:v>When the command link is lost, the system shall prevent command transmission and display LINK LOST.</x:v>
      </x:c>
      <x:c r="D10" s="19" t="str">
        <x:v>Prevent transmission without a usable link.</x:v>
      </x:c>
      <x:c r="E10" s="19" t="str">
        <x:v>SYS-C2-104</x:v>
      </x:c>
      <x:c r="F10" s="19" t="str">
        <x:v>Uncontrolled vehicle</x:v>
      </x:c>
      <x:c r="G10" s="19" t="str">
        <x:v>B</x:v>
      </x:c>
      <x:c r="H10" s="19" t="str"/>
      <x:c r="I10" s="19" t="str">
        <x:v>Transmission inhibited at link loss</x:v>
      </x:c>
      <x:c r="J10" s="19" t="str">
        <x:v>Safety</x:v>
      </x:c>
      <x:c r="K10" s="19" t="str">
        <x:v>Draft</x:v>
      </x:c>
    </x:row>
    <x:row r="11" ht="24" hidden="0" customHeight="1">
      <x:c r="A11" s="20" t="str">
        <x:v>SRAT-C2-005</x:v>
      </x:c>
      <x:c r="B11" s="19" t="str">
        <x:v>Restart continuity</x:v>
      </x:c>
      <x:c r="C11" s="19" t="str">
        <x:v>After restart, the pending command selection shall be restored so the operator can continue without re-entry.</x:v>
      </x:c>
      <x:c r="D11" s="19" t="str">
        <x:v>Reduce workload after a reset.</x:v>
      </x:c>
      <x:c r="E11" s="19" t="str">
        <x:v>SYS-C2-105</x:v>
      </x:c>
      <x:c r="F11" s="19" t="str">
        <x:v>Unintended command after reset</x:v>
      </x:c>
      <x:c r="G11" s="19" t="str">
        <x:v>B</x:v>
      </x:c>
      <x:c r="H11" s="19" t="str">
        <x:v>Test</x:v>
      </x:c>
      <x:c r="I11" s="19" t="str">
        <x:v>Pending selection restored</x:v>
      </x:c>
      <x:c r="J11" s="19" t="str">
        <x:v>Systems</x:v>
      </x:c>
      <x:c r="K11" s="19" t="str">
        <x:v>Approved</x:v>
      </x:c>
    </x:row>
    <x:row r="12" ht="24" hidden="0" customHeight="1">
      <x:c r="A12" s="20" t="str">
        <x:v>SRAT-C2-006</x:v>
      </x:c>
      <x:c r="B12" s="19" t="str">
        <x:v>Destructive command</x:v>
      </x:c>
      <x:c r="C12" s="19" t="str">
        <x:v>RETURN HOME and ABORT MISSION shall require confirmation before transmission.</x:v>
      </x:c>
      <x:c r="D12" s="19" t="str">
        <x:v>Reduce accidental activation.</x:v>
      </x:c>
      <x:c r="E12" s="19" t="str">
        <x:v>SYS-C2-106</x:v>
      </x:c>
      <x:c r="F12" s="19" t="str">
        <x:v>Unintended destructive command</x:v>
      </x:c>
      <x:c r="G12" s="19" t="str">
        <x:v>B</x:v>
      </x:c>
      <x:c r="H12" s="19" t="str">
        <x:v>Test</x:v>
      </x:c>
      <x:c r="I12" s="19" t="str">
        <x:v>One confirmation action is recorded</x:v>
      </x:c>
      <x:c r="J12" s="19" t="str">
        <x:v>Safety</x:v>
      </x:c>
      <x:c r="K12" s="19" t="str">
        <x:v>Approved</x:v>
      </x:c>
    </x:row>
    <x:row r="13" ht="24" hidden="0" customHeight="1">
      <x:c r="A13" s="20" t="str">
        <x:v>SRAT-C2-007</x:v>
      </x:c>
      <x:c r="B13" s="19" t="str">
        <x:v>Status colour</x:v>
      </x:c>
      <x:c r="C13" s="19" t="str">
        <x:v>Command status shall be indicated using green for accepted and red for rejected.</x:v>
      </x:c>
      <x:c r="D13" s="19" t="str">
        <x:v>Fast recognition.</x:v>
      </x:c>
      <x:c r="E13" s="19" t="str">
        <x:v>SYS-HMI-021</x:v>
      </x:c>
      <x:c r="F13" s="19" t="str">
        <x:v>Misinterpretation of status</x:v>
      </x:c>
      <x:c r="G13" s="19" t="str">
        <x:v>C</x:v>
      </x:c>
      <x:c r="H13" s="19" t="str">
        <x:v>Inspection</x:v>
      </x:c>
      <x:c r="I13" s="19" t="str">
        <x:v>Correct colour displayed</x:v>
      </x:c>
      <x:c r="J13" s="19" t="str">
        <x:v>HMI</x:v>
      </x:c>
      <x:c r="K13" s="19" t="str">
        <x:v>Approved</x:v>
      </x:c>
    </x:row>
    <x:row r="14" ht="24" hidden="0" customHeight="1">
      <x:c r="A14" s="20" t="str">
        <x:v>SRAT-C2-008</x:v>
      </x:c>
      <x:c r="B14" s="19" t="str">
        <x:v>Transaction identity</x:v>
      </x:c>
      <x:c r="C14" s="19" t="str">
        <x:v>Each command shall include a numeric transaction identifier; zero is permitted during startup.</x:v>
      </x:c>
      <x:c r="D14" s="19" t="str">
        <x:v>Correlate requests and acknowledgements.</x:v>
      </x:c>
      <x:c r="E14" s="19" t="str">
        <x:v>SYS-C2-108</x:v>
      </x:c>
      <x:c r="F14" s="19" t="str">
        <x:v>Incorrect acknowledgement association</x:v>
      </x:c>
      <x:c r="G14" s="19" t="str">
        <x:v>B</x:v>
      </x:c>
      <x:c r="H14" s="19" t="str">
        <x:v>Test</x:v>
      </x:c>
      <x:c r="I14" s="19" t="str">
        <x:v>Identifier is numeric</x:v>
      </x:c>
      <x:c r="J14" s="19" t="str">
        <x:v>Systems</x:v>
      </x:c>
      <x:c r="K14" s="19" t="str">
        <x:v>Approved</x:v>
      </x:c>
    </x:row>
  </x:sheetData>
  <x:mergeCells>
    <x:mergeCell ref="A1:K1"/>
    <x:mergeCell ref="A2:K2"/>
  </x:mergeCells>
  <x:conditionalFormatting sqref="K7:K14">
    <x:cfRule type="containsText" dxfId="0" priority="1" operator="containsText" text="Draft"/>
  </x:conditionalFormatting>
  <x:conditionalFormatting sqref="I7:I14">
    <x:cfRule type="containsBlanks" dxfId="1" priority="2"/>
  </x:conditionalFormatting>
  <x:conditionalFormatting sqref="H7:H14">
    <x:cfRule type="containsBlanks" dxfId="2" priority="3"/>
  </x:conditionalFormatting>
  <x:dataValidations count="1">
    <x:dataValidation type="list" sqref="K7:K14">
      <x:formula1>"Draft,In 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da41f44e3b43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42" hidden="0" customWidth="1"/>
  </x:cols>
  <x:sheetData>
    <x:row r="1" ht="30" customHeight="1">
      <x:c r="A1" s="4" t="str">
        <x:v>DCDS C2 Bidirectional Trace Register</x:v>
      </x:c>
      <x:c r="B1" s="4"/>
      <x:c r="C1" s="4"/>
      <x:c r="D1" s="4"/>
      <x:c r="E1" s="4"/>
      <x:c r="F1" s="4"/>
      <x:c r="G1" s="4"/>
      <x:c r="H1" s="4"/>
    </x:row>
    <x:row r="2">
      <x:c r="A2" s="21" t="str">
        <x:v>Candidate baseline 0.1 - links are manually entered for the review demonstration.</x:v>
      </x:c>
      <x:c r="B2" s="21"/>
      <x:c r="C2" s="21"/>
      <x:c r="D2" s="21"/>
      <x:c r="E2" s="21"/>
      <x:c r="F2" s="21"/>
      <x:c r="G2" s="21"/>
      <x:c r="H2" s="21"/>
    </x:row>
    <x:row r="5" ht="34" customHeight="1">
      <x:c r="A5" s="15" t="str">
        <x:v>SRATS ID</x:v>
      </x:c>
      <x:c r="B5" s="15" t="str">
        <x:v>HLR link(s)</x:v>
      </x:c>
      <x:c r="C5" s="15" t="str">
        <x:v>LLR link(s)</x:v>
      </x:c>
      <x:c r="D5" s="15" t="str">
        <x:v>Model element</x:v>
      </x:c>
      <x:c r="E5" s="15" t="str">
        <x:v>Code unit</x:v>
      </x:c>
      <x:c r="F5" s="15" t="str">
        <x:v>Test ID(s)</x:v>
      </x:c>
      <x:c r="G5" s="15" t="str">
        <x:v>Latest result</x:v>
      </x:c>
      <x:c r="H5" s="15" t="str">
        <x:v>Notes</x:v>
      </x:c>
    </x:row>
    <x:row r="6" ht="15" hidden="0" customHeight="1">
      <x:c r="A6" s="20" t="str">
        <x:v>SRAT-C2-001</x:v>
      </x:c>
      <x:c r="B6" s="19" t="str">
        <x:v>HLR-C2-001</x:v>
      </x:c>
      <x:c r="C6" s="19" t="str">
        <x:v>LLR-C2-001</x:v>
      </x:c>
      <x:c r="D6" s="19" t="str">
        <x:v>N_DoStuff</x:v>
      </x:c>
      <x:c r="E6" s="19" t="str">
        <x:v>dcds_c2_step</x:v>
      </x:c>
      <x:c r="F6" s="19" t="str">
        <x:v>TC-C2-001</x:v>
      </x:c>
      <x:c r="G6" s="19" t="str">
        <x:v>Pass</x:v>
      </x:c>
      <x:c r="H6" s="19" t="str"/>
    </x:row>
    <x:row r="7" ht="15" hidden="0" customHeight="1">
      <x:c r="A7" s="20" t="str">
        <x:v>SRAT-C2-002</x:v>
      </x:c>
      <x:c r="B7" s="19" t="str">
        <x:v>HLR-C2-002</x:v>
      </x:c>
      <x:c r="C7" s="19" t="str">
        <x:v>LLR-C2-003</x:v>
      </x:c>
      <x:c r="D7" s="19" t="str">
        <x:v>N_DoStuff</x:v>
      </x:c>
      <x:c r="E7" s="19" t="str">
        <x:v>dcds_c2_step</x:v>
      </x:c>
      <x:c r="F7" s="19" t="str">
        <x:v>TC-C2-002</x:v>
      </x:c>
      <x:c r="G7" s="19" t="str">
        <x:v>Pass</x:v>
      </x:c>
      <x:c r="H7" s="19" t="str">
        <x:v>Authority exception not separately tested</x:v>
      </x:c>
    </x:row>
    <x:row r="8" ht="15" hidden="0" customHeight="1">
      <x:c r="A8" s="20" t="str">
        <x:v>SRAT-C2-003</x:v>
      </x:c>
      <x:c r="B8" s="19" t="str">
        <x:v>HLR-C2-004</x:v>
      </x:c>
      <x:c r="C8" s="19" t="str">
        <x:v>LLR-C2-006</x:v>
      </x:c>
      <x:c r="D8" s="19" t="str">
        <x:v>N_DoStuff</x:v>
      </x:c>
      <x:c r="E8" s="19" t="str">
        <x:v>dcds_c2_step</x:v>
      </x:c>
      <x:c r="F8" s="19" t="str">
        <x:v>TC-C2-003</x:v>
      </x:c>
      <x:c r="G8" s="19" t="str">
        <x:v>Pass</x:v>
      </x:c>
      <x:c r="H8" s="19" t="str"/>
    </x:row>
    <x:row r="9" ht="15" hidden="0" customHeight="1">
      <x:c r="A9" s="20" t="str">
        <x:v>SRAT-C2-004</x:v>
      </x:c>
      <x:c r="B9" s="19" t="str"/>
      <x:c r="C9" s="19" t="str">
        <x:v>LLR-C2-008</x:v>
      </x:c>
      <x:c r="D9" s="19" t="str"/>
      <x:c r="E9" s="19" t="str">
        <x:v>dcds_c2_on_confirm</x:v>
      </x:c>
      <x:c r="F9" s="19" t="str"/>
      <x:c r="G9" s="19" t="str">
        <x:v>Not Run</x:v>
      </x:c>
      <x:c r="H9" s="19" t="str">
        <x:v>HLR allocation pending</x:v>
      </x:c>
    </x:row>
    <x:row r="10" ht="15" hidden="0" customHeight="1">
      <x:c r="A10" s="20" t="str">
        <x:v>SRAT-C2-005</x:v>
      </x:c>
      <x:c r="B10" s="19" t="str">
        <x:v>HLR-C2-007</x:v>
      </x:c>
      <x:c r="C10" s="19" t="str">
        <x:v>LLR-C2-010</x:v>
      </x:c>
      <x:c r="D10" s="19" t="str">
        <x:v>N_Restore</x:v>
      </x:c>
      <x:c r="E10" s="19" t="str">
        <x:v>dcds_c2_init</x:v>
      </x:c>
      <x:c r="F10" s="19" t="str">
        <x:v>TC-C2-006</x:v>
      </x:c>
      <x:c r="G10" s="19" t="str">
        <x:v>Pass</x:v>
      </x:c>
      <x:c r="H10" s="19" t="str"/>
    </x:row>
    <x:row r="11" ht="15" hidden="0" customHeight="1">
      <x:c r="A11" s="20" t="str">
        <x:v>SRAT-C2-006</x:v>
      </x:c>
      <x:c r="B11" s="19" t="str">
        <x:v>HLR-C2-003</x:v>
      </x:c>
      <x:c r="C11" s="19" t="str">
        <x:v>LLR-C2-004</x:v>
      </x:c>
      <x:c r="D11" s="19" t="str">
        <x:v>N_DoStuff</x:v>
      </x:c>
      <x:c r="E11" s="19" t="str">
        <x:v>dcds_c2_on_confirm</x:v>
      </x:c>
      <x:c r="F11" s="19" t="str">
        <x:v>TC-C2-004</x:v>
      </x:c>
      <x:c r="G11" s="19" t="str">
        <x:v>Pass</x:v>
      </x:c>
      <x:c r="H11" s="19" t="str"/>
    </x:row>
    <x:row r="12" ht="15" hidden="0" customHeight="1">
      <x:c r="A12" s="20" t="str">
        <x:v>SRAT-C2-007</x:v>
      </x:c>
      <x:c r="B12" s="19" t="str">
        <x:v>HLR-C2-006</x:v>
      </x:c>
      <x:c r="C12" s="19" t="str">
        <x:v>LLR-C2-009</x:v>
      </x:c>
      <x:c r="D12" s="19" t="str">
        <x:v>C2_TXT_Status</x:v>
      </x:c>
      <x:c r="E12" s="19" t="str">
        <x:v>dcds_c2_step</x:v>
      </x:c>
      <x:c r="F12" s="19" t="str">
        <x:v>TC-C2-005</x:v>
      </x:c>
      <x:c r="G12" s="19" t="str">
        <x:v>Pass</x:v>
      </x:c>
      <x:c r="H12" s="19" t="str">
        <x:v>Image baseline not configuration controlled</x:v>
      </x:c>
    </x:row>
    <x:row r="13" ht="15" hidden="0" customHeight="1">
      <x:c r="A13" s="20" t="str">
        <x:v>SRAT-C2-008</x:v>
      </x:c>
      <x:c r="B13" s="19" t="str">
        <x:v>HLR-C2-404</x:v>
      </x:c>
      <x:c r="C13" s="19" t="str">
        <x:v>LLR-C2-007</x:v>
      </x:c>
      <x:c r="D13" s="19" t="str">
        <x:v>N_DoStuff</x:v>
      </x:c>
      <x:c r="E13" s="19" t="str">
        <x:v>dcds_c2_step</x:v>
      </x:c>
      <x:c r="F13" s="19" t="str">
        <x:v>TC-C2-007</x:v>
      </x:c>
      <x:c r="G13" s="19" t="str">
        <x:v>Pass</x:v>
      </x:c>
      <x:c r="H13" s="19" t="str">
        <x:v>HLR identifier copied from obsolete branch</x:v>
      </x:c>
    </x:row>
    <x:row r="14" ht="15" hidden="0" customHeight="1">
      <x:c r="A14" s="20" t="str">
        <x:v>SRAT-C2-999</x:v>
      </x:c>
      <x:c r="B14" s="19" t="str">
        <x:v>HLR-C2-009</x:v>
      </x:c>
      <x:c r="C14" s="19" t="str"/>
      <x:c r="D14" s="19" t="str">
        <x:v>N_DoStuff</x:v>
      </x:c>
      <x:c r="E14" s="19" t="str">
        <x:v>dcds_c2_step</x:v>
      </x:c>
      <x:c r="F14" s="19" t="str">
        <x:v>TC-C2-099</x:v>
      </x:c>
      <x:c r="G14" s="19" t="str">
        <x:v>Pass</x:v>
      </x:c>
      <x:c r="H14" s="19" t="str">
        <x:v>Source requirement does not exist</x:v>
      </x:c>
    </x:row>
  </x:sheetData>
  <x:mergeCells>
    <x:mergeCell ref="A1:H1"/>
    <x:mergeCell ref="A2:H2"/>
  </x:mergeCells>
  <x:conditionalFormatting sqref="B6:F14">
    <x:cfRule type="containsBlanks" dxfId="3" priority="1"/>
  </x:conditionalFormatting>
  <x:conditionalFormatting sqref="G6:G14">
    <x:cfRule type="containsText" dxfId="4" priority="2" operator="containsText" text="Not Run"/>
  </x:conditionalFormatting>
  <x:dataValidations count="1">
    <x:dataValidation type="list" sqref="G6:G14">
      <x:formula1>"Pass,Fail,Not Run,Blocked"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1066f392cd4a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3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" t="str">
        <x:v>DCDS C2 SRATS Review Summary</x:v>
      </x:c>
      <x:c r="B1" s="4"/>
      <x:c r="C1" s="4"/>
      <x:c r="D1" s="4"/>
      <x:c r="E1" s="4"/>
      <x:c r="F1" s="4"/>
    </x:row>
    <x:row r="2">
      <x:c r="A2" s="21" t="str">
        <x:v>Live checks are formula-driven from the editable SRATS and Traceability sheets.</x:v>
      </x:c>
      <x:c r="B2" s="21"/>
      <x:c r="C2" s="21"/>
      <x:c r="D2" s="21"/>
      <x:c r="E2" s="21"/>
      <x:c r="F2" s="21"/>
    </x:row>
    <x:row r="4" ht="34" customHeight="1">
      <x:c r="A4" s="15" t="str">
        <x:v>Check</x:v>
      </x:c>
      <x:c r="B4" s="15" t="str">
        <x:v>Value</x:v>
      </x:c>
      <x:c r="D4" s="15" t="str">
        <x:v>Reviewer note</x:v>
      </x:c>
      <x:c r="E4" s="15"/>
      <x:c r="F4" s="15"/>
    </x:row>
    <x:row r="5">
      <x:c r="A5" s="22" t="str">
        <x:v>SRATS count</x:v>
      </x:c>
      <x:c r="B5" s="19" t="n">
        <x:f>COUNTA('SRATS'!A7:A14)</x:f>
        <x:v>8</x:v>
      </x:c>
      <x:c r="D5" s="41" t="str">
        <x:v>This workbook intentionally represents a draft allocation register. Review the wording, safety allocation, verification criteria and every cross-sheet link against DCDS-SDS-001 and DCDS-SVS-001; do not assume a green Pass cell proves that the linked evidence exists or is valid.</x:v>
      </x:c>
      <x:c r="E5" s="42"/>
      <x:c r="F5" s="43"/>
    </x:row>
    <x:row r="6">
      <x:c r="A6" s="22" t="str">
        <x:v>Blank acceptance criteria</x:v>
      </x:c>
      <x:c r="B6" s="19" t="n">
        <x:f>COUNTBLANK('SRATS'!I7:I14)</x:f>
        <x:v>1</x:v>
      </x:c>
      <x:c r="D6" s="44"/>
      <x:c r="E6" s="45"/>
      <x:c r="F6" s="46"/>
    </x:row>
    <x:row r="7">
      <x:c r="A7" s="22" t="str">
        <x:v>Blank verification methods</x:v>
      </x:c>
      <x:c r="B7" s="19" t="n">
        <x:f>COUNTBLANK('SRATS'!H7:H14)</x:f>
        <x:v>1</x:v>
      </x:c>
      <x:c r="D7" s="44"/>
      <x:c r="E7" s="45"/>
      <x:c r="F7" s="46"/>
    </x:row>
    <x:row r="8">
      <x:c r="A8" s="22" t="str">
        <x:v>Trace rows missing HLR</x:v>
      </x:c>
      <x:c r="B8" s="19" t="n">
        <x:f>COUNTBLANK('Traceability'!B6:B14)</x:f>
        <x:v>1</x:v>
      </x:c>
      <x:c r="D8" s="44"/>
      <x:c r="E8" s="45"/>
      <x:c r="F8" s="46"/>
    </x:row>
    <x:row r="9">
      <x:c r="A9" s="22" t="str">
        <x:v>Orphan SRATS trace rows</x:v>
      </x:c>
      <x:c r="B9" s="19" t="n">
        <x:f>COUNTIF('Traceability'!A6:A14,"SRAT-C2-999")</x:f>
        <x:v>1</x:v>
      </x:c>
      <x:c r="D9" s="44"/>
      <x:c r="E9" s="45"/>
      <x:c r="F9" s="46"/>
    </x:row>
    <x:row r="10">
      <x:c r="A10" s="22" t="str">
        <x:v>Not-run trace results</x:v>
      </x:c>
      <x:c r="B10" s="19" t="n">
        <x:f>COUNTIF('Traceability'!G6:G14,"Not Run")</x:f>
        <x:v>1</x:v>
      </x:c>
      <x:c r="D10" s="47"/>
      <x:c r="E10" s="48"/>
      <x:c r="F10" s="49"/>
    </x:row>
  </x:sheetData>
  <x:mergeCells>
    <x:mergeCell ref="A1:F1"/>
    <x:mergeCell ref="A2:F2"/>
    <x:mergeCell ref="D4:F4"/>
    <x:mergeCell ref="D5:F10"/>
  </x:mergeCells>
  <x:conditionalFormatting sqref="B6:B10">
    <x:cfRule type="cellIs" dxfId="5" priority="1" operator="greaterThan">
      <x:formula>0</x:formula>
    </x:cfRule>
  </x:conditionalFormatting>
  <x:pageMargins left="0.7" right="0.7" top="0.75" bottom="0.75" header="0.3" footer="0.3"/>
</x:worksheet>
</file>